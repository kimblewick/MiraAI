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 Dashboard" sheetId="1" r:id="rId4"/>
    <sheet state="visible" name="Fixed Costs" sheetId="2" r:id="rId5"/>
    <sheet state="visible" name="Variable Costs" sheetId="3" r:id="rId6"/>
    <sheet state="visible" name="Scaling Scenarios" sheetId="4" r:id="rId7"/>
    <sheet state="visible" name="Amazon Q Comparison" sheetId="5" r:id="rId8"/>
  </sheets>
  <definedNames/>
  <calcPr/>
</workbook>
</file>

<file path=xl/sharedStrings.xml><?xml version="1.0" encoding="utf-8"?>
<sst xmlns="http://schemas.openxmlformats.org/spreadsheetml/2006/main" count="182" uniqueCount="176">
  <si>
    <t>Mira AWS Cost Analysis - Summary Dashboard</t>
  </si>
  <si>
    <t>Model: OpenAI GPT-OSS-20B on Amazon Bedrock</t>
  </si>
  <si>
    <t>COST:  $0.000030/1000 input tokens</t>
  </si>
  <si>
    <t>Current Monthly Costs (Base Infrastructure)</t>
  </si>
  <si>
    <t>Category</t>
  </si>
  <si>
    <t>Service</t>
  </si>
  <si>
    <t>Monthly Cost ($)</t>
  </si>
  <si>
    <t>Notes</t>
  </si>
  <si>
    <t>VPC Networking</t>
  </si>
  <si>
    <t>Interface Endpoints (6×2 AZs)</t>
  </si>
  <si>
    <t>Bedrock, SecretsManager, CloudWatch, STS, X-Ray, EventBridge</t>
  </si>
  <si>
    <t>NAT Gateways (2)</t>
  </si>
  <si>
    <t>$0.045/hr each</t>
  </si>
  <si>
    <t>Public IPv4 Addresses (2)</t>
  </si>
  <si>
    <t>$0.005/hr each</t>
  </si>
  <si>
    <t>Gateway Endpoints (S3, DynamoDB)</t>
  </si>
  <si>
    <t>Free</t>
  </si>
  <si>
    <t>Compute</t>
  </si>
  <si>
    <t>Lambda (base)</t>
  </si>
  <si>
    <t>Free tier covers most</t>
  </si>
  <si>
    <t>Monitoring</t>
  </si>
  <si>
    <t>CloudWatch &amp; X-Ray</t>
  </si>
  <si>
    <t>Minimal usage</t>
  </si>
  <si>
    <t>Security</t>
  </si>
  <si>
    <t>Secrets Manager</t>
  </si>
  <si>
    <t>$0.40/secret/month</t>
  </si>
  <si>
    <t>DevOps</t>
  </si>
  <si>
    <t>Terraform State (S3)</t>
  </si>
  <si>
    <t>Minimal storage</t>
  </si>
  <si>
    <t>Total Fixed Infrastructure Cost:</t>
  </si>
  <si>
    <t>Variable Costs (for 100 users)</t>
  </si>
  <si>
    <t>Bedrock GPT-OSS-20B</t>
  </si>
  <si>
    <t>API Gateway + Lambda + DynamoDB</t>
  </si>
  <si>
    <t>Other variable costs</t>
  </si>
  <si>
    <t>TOTAL FOR 100 USERS:</t>
  </si>
  <si>
    <t>APPROX. TOTAL FOR 1 USER:</t>
  </si>
  <si>
    <t>Fixed Infrastructure Costs (Monthly)</t>
  </si>
  <si>
    <t>VPC INTERFACE ENDPOINTS</t>
  </si>
  <si>
    <t>Item</t>
  </si>
  <si>
    <t>Unit Price</t>
  </si>
  <si>
    <t>Quantity</t>
  </si>
  <si>
    <t>Hourly rate per endpoint per AZ</t>
  </si>
  <si>
    <t>Hours per month</t>
  </si>
  <si>
    <t>Number of interface endpoints</t>
  </si>
  <si>
    <t>Bedrock, Secrets Manager, CloudWatch Logs, STS, X-Ray, EventBridge</t>
  </si>
  <si>
    <t>Number of Availability Zones</t>
  </si>
  <si>
    <t>Monthly cost per endpoint</t>
  </si>
  <si>
    <t>Data processing (est. GB)</t>
  </si>
  <si>
    <t>TOTAL INTERFACE ENDPOINTS</t>
  </si>
  <si>
    <t>NAT GATEWAYS</t>
  </si>
  <si>
    <t>NAT Gateway hourly rate</t>
  </si>
  <si>
    <t>PUBLIC IPv4 ADDRESSES</t>
  </si>
  <si>
    <t>IPv4 hourly rate</t>
  </si>
  <si>
    <t>GATEWAY ENDPOINTS</t>
  </si>
  <si>
    <t>S3 &amp; DynamoDB Gateway Endpoints</t>
  </si>
  <si>
    <t>FREE</t>
  </si>
  <si>
    <t>LAMBDA (BASE)</t>
  </si>
  <si>
    <t>EventBridge keep-warm (minimal)</t>
  </si>
  <si>
    <t>MONITORING</t>
  </si>
  <si>
    <t>CloudWatch &amp; X-Ray (estimated)</t>
  </si>
  <si>
    <t>SECRETS MANAGER</t>
  </si>
  <si>
    <t>Number of secrets</t>
  </si>
  <si>
    <t>S3 STORAGE</t>
  </si>
  <si>
    <t>Terraform state &amp; artifacts (GB)</t>
  </si>
  <si>
    <t>TOTAL FIXED MONTHLY COSTS</t>
  </si>
  <si>
    <t>Variable Costs (Scales with Usage)</t>
  </si>
  <si>
    <t>USER ASSUMPTIONS</t>
  </si>
  <si>
    <t>Number of users</t>
  </si>
  <si>
    <t>Conversations per user/month</t>
  </si>
  <si>
    <t>Messages per conversation</t>
  </si>
  <si>
    <t>User messages per conversation</t>
  </si>
  <si>
    <t>AI responses per conversation</t>
  </si>
  <si>
    <t>TOKEN ASSUMPTIONS</t>
  </si>
  <si>
    <t>Avg input tokens per message</t>
  </si>
  <si>
    <t>Avg output tokens per response</t>
  </si>
  <si>
    <t>CALCULATED USAGE</t>
  </si>
  <si>
    <t>Total API requests/month</t>
  </si>
  <si>
    <t>Total input tokens/month</t>
  </si>
  <si>
    <t>Total output tokens/month</t>
  </si>
  <si>
    <t>SERVICE COSTS</t>
  </si>
  <si>
    <t>AMAZON BEDROCK (OpenAI GPT-OSS-20B)</t>
  </si>
  <si>
    <t>Input token price (per 1K)</t>
  </si>
  <si>
    <t>~100x cheaper than Claude 3.5 Sonnet!</t>
  </si>
  <si>
    <t>Output token price (per 1K)</t>
  </si>
  <si>
    <t>Input token cost</t>
  </si>
  <si>
    <t>Output token cost</t>
  </si>
  <si>
    <t>Total Bedrock cost</t>
  </si>
  <si>
    <t>API GATEWAY (HTTP API)</t>
  </si>
  <si>
    <t>Price per million requests</t>
  </si>
  <si>
    <t>Total API Gateway cost</t>
  </si>
  <si>
    <t>LAMBDA</t>
  </si>
  <si>
    <t>Memory (MB)</t>
  </si>
  <si>
    <t>Avg duration (seconds)</t>
  </si>
  <si>
    <t>GB-seconds used</t>
  </si>
  <si>
    <t>Free tier GB-seconds</t>
  </si>
  <si>
    <t>Billable GB-seconds</t>
  </si>
  <si>
    <t>Price per GB-second</t>
  </si>
  <si>
    <t>Lambda compute cost</t>
  </si>
  <si>
    <t>Lambda requests (after 1M free)</t>
  </si>
  <si>
    <t>Lambda request cost ($0.20/million)</t>
  </si>
  <si>
    <t>Total Lambda cost</t>
  </si>
  <si>
    <t>DYNAMODB (On-Demand)</t>
  </si>
  <si>
    <t>Write requests (per user/month)</t>
  </si>
  <si>
    <t>Read requests (per user/month)</t>
  </si>
  <si>
    <t>Write price per million</t>
  </si>
  <si>
    <t>Read price per million</t>
  </si>
  <si>
    <t>DynamoDB cost</t>
  </si>
  <si>
    <t>CLOUDFRONT</t>
  </si>
  <si>
    <t>Data transfer (GB estimate)</t>
  </si>
  <si>
    <t>Price per GB</t>
  </si>
  <si>
    <t>CloudFront cost</t>
  </si>
  <si>
    <t>COGNITO</t>
  </si>
  <si>
    <t>Monthly Active Users</t>
  </si>
  <si>
    <t>Free tier MAUs</t>
  </si>
  <si>
    <t>Cognito cost (50K MAU free)</t>
  </si>
  <si>
    <t>NAT GATEWAY DATA PROCESSING</t>
  </si>
  <si>
    <t>External API calls (GB estimate)</t>
  </si>
  <si>
    <t>NAT data processing cost</t>
  </si>
  <si>
    <t>TOTAL VARIABLE COSTS</t>
  </si>
  <si>
    <t>Cost Scaling Scenarios (GPT-OSS-20B)</t>
  </si>
  <si>
    <t>Note: GPT-OSS-20B is ~100x cheaper than Claude, making AI costs nearly negligible!</t>
  </si>
  <si>
    <t>Users</t>
  </si>
  <si>
    <t>Fixed Costs</t>
  </si>
  <si>
    <t>Variable Costs</t>
  </si>
  <si>
    <t>Total Monthly</t>
  </si>
  <si>
    <t>Cost per User</t>
  </si>
  <si>
    <t>Dev/test scenario</t>
  </si>
  <si>
    <t>Small pilot</t>
  </si>
  <si>
    <t>Initial launch</t>
  </si>
  <si>
    <t>Growing user base</t>
  </si>
  <si>
    <t>Mid-scale production</t>
  </si>
  <si>
    <t>Full scale</t>
  </si>
  <si>
    <t>KEY INSIGHTS:</t>
  </si>
  <si>
    <t>1. Fixed infrastructure costs (~$168/month) dominate your bill at low user counts</t>
  </si>
  <si>
    <t>2. GPT-OSS-20B costs are nearly ZERO (~$0.97 for 100 users vs ~$135 for Claude)</t>
  </si>
  <si>
    <t>3. Your main cost optimization opportunity is VPC infrastructure, NOT the AI model</t>
  </si>
  <si>
    <t>4. At 1000 users, total cost is still under $200/month - extremely cost-effective!</t>
  </si>
  <si>
    <t>Amazon Q Estimate vs. Verified Analysis</t>
  </si>
  <si>
    <t>AMAZON Q ESTIMATES</t>
  </si>
  <si>
    <t>November 2025 Total:</t>
  </si>
  <si>
    <t>VPC (58%):</t>
  </si>
  <si>
    <t>EC2-Other (41.5%):</t>
  </si>
  <si>
    <t>Other services (&lt;1%):</t>
  </si>
  <si>
    <t>December Projection:</t>
  </si>
  <si>
    <t>100 User Estimate (Amazon Q):</t>
  </si>
  <si>
    <t xml:space="preserve">  - Best case:</t>
  </si>
  <si>
    <t xml:space="preserve">  - Worst case:</t>
  </si>
  <si>
    <t xml:space="preserve">  - "Realistic":</t>
  </si>
  <si>
    <t>2000-4000</t>
  </si>
  <si>
    <t>VERIFIED ANALYSIS (GPT-OSS-20B)</t>
  </si>
  <si>
    <t>Expected Fixed Infrastructure:</t>
  </si>
  <si>
    <t>Based on architecture diagram</t>
  </si>
  <si>
    <t>100 User Variable Costs:</t>
  </si>
  <si>
    <t>GPT-OSS-20B is ~100x cheaper than Claude!</t>
  </si>
  <si>
    <t>TOTAL for 100 Users:</t>
  </si>
  <si>
    <t>~10-20x LOWER than Amazon Q's estimate!</t>
  </si>
  <si>
    <t>MODEL COST COMPARISON</t>
  </si>
  <si>
    <t>GPT-OSS-20B (your model):</t>
  </si>
  <si>
    <t>$0.03/1M input, $0.14/1M output</t>
  </si>
  <si>
    <t>Claude 3.5 Sonnet (comparison):</t>
  </si>
  <si>
    <t>$3/1M input, $15/1M output</t>
  </si>
  <si>
    <t>SAVINGS by using GPT-OSS-20B:</t>
  </si>
  <si>
    <t>per month for 100 users</t>
  </si>
  <si>
    <t>DISCREPANCIES WITH AMAZON Q</t>
  </si>
  <si>
    <t>1. Amazon Q didn't account for GPT-OSS-20B's extremely low pricing</t>
  </si>
  <si>
    <t>2. Amazon Q assumed 'linear scaling' - WRONG for serverless architecture</t>
  </si>
  <si>
    <t>3. VPC/NAT costs are FIXED, not per-user variable costs</t>
  </si>
  <si>
    <t>4. Amazon Q's '100 user estimate' of $2,000-4,000 is ~10-20x too high!</t>
  </si>
  <si>
    <t>5. Your biggest cost driver is VPC infrastructure, NOT the AI model</t>
  </si>
  <si>
    <t>6. December trend ($145.62) suggests partial deployment, not full infra</t>
  </si>
  <si>
    <t>RECOMMENDATIONS</t>
  </si>
  <si>
    <t>• Consider reducing VPC endpoints (use NAT for low-traffic services)</t>
  </si>
  <si>
    <t>• Single NAT Gateway for dev environment saves ~$33/month</t>
  </si>
  <si>
    <t>• Your AI model choice (GPT-OSS-20B) is already optimal for cost</t>
  </si>
  <si>
    <t>• Focus optimization efforts on VPC infrastructure, not Bedrock</t>
  </si>
  <si>
    <t>• At current model pricing, you can easily scale to 1000+ users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</si>
</sst>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6.0"/>
      <color theme="1"/>
      <name val="Cambria"/>
    </font>
    <font>
      <b/>
      <sz val="11.0"/>
      <color rgb="FF008000"/>
      <name val="Cambria"/>
    </font>
    <font>
      <b/>
      <sz val="12.0"/>
      <color theme="1"/>
      <name val="Cambria"/>
    </font>
    <font>
      <b/>
      <sz val="11.0"/>
      <color rgb="FFFFFFFF"/>
      <name val="Cambria"/>
    </font>
    <font>
      <sz val="11.0"/>
      <color theme="1"/>
      <name val="Calibri"/>
    </font>
    <font>
      <b/>
      <sz val="11.0"/>
      <color theme="1"/>
      <name val="Cambria"/>
    </font>
    <font>
      <sz val="11.0"/>
      <color rgb="FF000000"/>
      <name val="Cambria"/>
    </font>
    <font>
      <color theme="1"/>
      <name val="Calibri"/>
      <scheme val="minor"/>
    </font>
    <font>
      <b/>
      <sz val="14.0"/>
      <color theme="1"/>
      <name val="Cambria"/>
    </font>
    <font>
      <sz val="11.0"/>
      <color rgb="FF0000FF"/>
      <name val="Cambria"/>
    </font>
    <font>
      <sz val="11.0"/>
      <color rgb="FF008000"/>
      <name val="Cambria"/>
    </font>
    <font/>
  </fonts>
  <fills count="8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D9EAD3"/>
        <bgColor rgb="FFD9EAD3"/>
      </patternFill>
    </fill>
    <fill>
      <patternFill patternType="solid">
        <fgColor rgb="FFBDD7EE"/>
        <bgColor rgb="FFBDD7EE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FCE4D6"/>
      </patternFill>
    </fill>
    <fill>
      <patternFill patternType="solid">
        <fgColor rgb="FFFFCCCB"/>
        <bgColor rgb="FFFFCCCB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shrinkToFit="0" vertical="bottom" wrapText="0"/>
    </xf>
    <xf borderId="1" fillId="0" fontId="5" numFmtId="0" xfId="0" applyAlignment="1" applyBorder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2" fillId="3" fontId="7" numFmtId="0" xfId="0" applyAlignment="1" applyBorder="1" applyFill="1" applyFont="1">
      <alignment shrinkToFit="0" vertical="bottom" wrapText="0"/>
    </xf>
    <xf borderId="0" fillId="0" fontId="8" numFmtId="0" xfId="0" applyFont="1"/>
    <xf borderId="0" fillId="0" fontId="9" numFmtId="0" xfId="0" applyAlignment="1" applyFont="1">
      <alignment shrinkToFit="0" vertical="bottom" wrapText="0"/>
    </xf>
    <xf borderId="2" fillId="3" fontId="9" numFmtId="0" xfId="0" applyAlignment="1" applyBorder="1" applyFont="1">
      <alignment shrinkToFit="0" vertical="bottom" wrapText="0"/>
    </xf>
    <xf borderId="0" fillId="0" fontId="9" numFmtId="0" xfId="0" applyAlignment="1" applyFont="1">
      <alignment readingOrder="0" shrinkToFit="0" vertical="bottom" wrapText="0"/>
    </xf>
    <xf borderId="2" fillId="4" fontId="6" numFmtId="0" xfId="0" applyAlignment="1" applyBorder="1" applyFill="1" applyFont="1">
      <alignment shrinkToFit="0" vertical="bottom" wrapText="0"/>
    </xf>
    <xf borderId="2" fillId="2" fontId="4" numFmtId="0" xfId="0" applyAlignment="1" applyBorder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2" fillId="3" fontId="3" numFmtId="0" xfId="0" applyAlignment="1" applyBorder="1" applyFont="1">
      <alignment shrinkToFit="0" vertical="bottom" wrapText="0"/>
    </xf>
    <xf borderId="2" fillId="5" fontId="10" numFmtId="0" xfId="0" applyAlignment="1" applyBorder="1" applyFill="1" applyFont="1">
      <alignment shrinkToFit="0" vertical="bottom" wrapText="0"/>
    </xf>
    <xf borderId="2" fillId="3" fontId="6" numFmtId="0" xfId="0" applyAlignment="1" applyBorder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3" fillId="5" fontId="3" numFmtId="0" xfId="0" applyAlignment="1" applyBorder="1" applyFont="1">
      <alignment shrinkToFit="0" vertical="bottom" wrapText="0"/>
    </xf>
    <xf borderId="4" fillId="0" fontId="12" numFmtId="0" xfId="0" applyBorder="1" applyFont="1"/>
    <xf borderId="5" fillId="0" fontId="12" numFmtId="0" xfId="0" applyBorder="1" applyFont="1"/>
    <xf borderId="2" fillId="6" fontId="6" numFmtId="0" xfId="0" applyAlignment="1" applyBorder="1" applyFill="1" applyFont="1">
      <alignment shrinkToFit="0" vertical="bottom" wrapText="0"/>
    </xf>
    <xf borderId="2" fillId="7" fontId="6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35.0"/>
    <col customWidth="1" min="3" max="3" width="18.0"/>
    <col customWidth="1" min="4" max="4" width="55.0"/>
    <col customWidth="1" min="5" max="26" width="8.71"/>
  </cols>
  <sheetData>
    <row r="1">
      <c r="A1" s="1" t="s">
        <v>0</v>
      </c>
    </row>
    <row r="2">
      <c r="A2" s="2" t="s">
        <v>1</v>
      </c>
      <c r="C2" s="3" t="s">
        <v>2</v>
      </c>
    </row>
    <row r="4">
      <c r="A4" s="4" t="s">
        <v>3</v>
      </c>
    </row>
    <row r="5">
      <c r="A5" s="5" t="s">
        <v>4</v>
      </c>
      <c r="B5" s="5" t="s">
        <v>5</v>
      </c>
      <c r="C5" s="5" t="s">
        <v>6</v>
      </c>
      <c r="D5" s="5" t="s">
        <v>7</v>
      </c>
    </row>
    <row r="6">
      <c r="A6" s="6" t="s">
        <v>8</v>
      </c>
      <c r="B6" s="6" t="s">
        <v>9</v>
      </c>
      <c r="C6" s="6">
        <f>'Fixed Costs'!D12</f>
        <v>87.7</v>
      </c>
      <c r="D6" s="6" t="s">
        <v>10</v>
      </c>
    </row>
    <row r="7">
      <c r="A7" s="6" t="s">
        <v>8</v>
      </c>
      <c r="B7" s="6" t="s">
        <v>11</v>
      </c>
      <c r="C7" s="6">
        <f>'Fixed Costs'!D15</f>
        <v>65.7</v>
      </c>
      <c r="D7" s="6" t="s">
        <v>12</v>
      </c>
    </row>
    <row r="8">
      <c r="A8" s="6" t="s">
        <v>8</v>
      </c>
      <c r="B8" s="6" t="s">
        <v>13</v>
      </c>
      <c r="C8" s="6">
        <f>'Fixed Costs'!D18</f>
        <v>7.3</v>
      </c>
      <c r="D8" s="6" t="s">
        <v>14</v>
      </c>
    </row>
    <row r="9">
      <c r="A9" s="6" t="s">
        <v>8</v>
      </c>
      <c r="B9" s="6" t="s">
        <v>15</v>
      </c>
      <c r="C9" s="6">
        <f>'Fixed Costs'!D21</f>
        <v>0</v>
      </c>
      <c r="D9" s="6" t="s">
        <v>16</v>
      </c>
    </row>
    <row r="10">
      <c r="A10" s="6" t="s">
        <v>17</v>
      </c>
      <c r="B10" s="6" t="s">
        <v>18</v>
      </c>
      <c r="C10" s="6">
        <f>'Fixed Costs'!D24</f>
        <v>1</v>
      </c>
      <c r="D10" s="6" t="s">
        <v>19</v>
      </c>
    </row>
    <row r="11">
      <c r="A11" s="6" t="s">
        <v>20</v>
      </c>
      <c r="B11" s="6" t="s">
        <v>21</v>
      </c>
      <c r="C11" s="6">
        <f>'Fixed Costs'!D27</f>
        <v>5</v>
      </c>
      <c r="D11" s="6" t="s">
        <v>22</v>
      </c>
    </row>
    <row r="12">
      <c r="A12" s="6" t="s">
        <v>23</v>
      </c>
      <c r="B12" s="6" t="s">
        <v>24</v>
      </c>
      <c r="C12" s="6">
        <f>'Fixed Costs'!D30</f>
        <v>0.4</v>
      </c>
      <c r="D12" s="6" t="s">
        <v>25</v>
      </c>
    </row>
    <row r="13">
      <c r="A13" s="6" t="s">
        <v>26</v>
      </c>
      <c r="B13" s="6" t="s">
        <v>27</v>
      </c>
      <c r="C13" s="6">
        <f>'Fixed Costs'!D33</f>
        <v>0.023</v>
      </c>
      <c r="D13" s="6" t="s">
        <v>28</v>
      </c>
    </row>
    <row r="15">
      <c r="A15" s="7" t="s">
        <v>29</v>
      </c>
      <c r="C15" s="8">
        <f>SUM(C6:C13)</f>
        <v>167.123</v>
      </c>
    </row>
    <row r="17">
      <c r="A17" s="4" t="s">
        <v>30</v>
      </c>
    </row>
    <row r="18">
      <c r="A18" s="9" t="s">
        <v>31</v>
      </c>
      <c r="C18" s="9">
        <f>'Variable Costs'!D25</f>
        <v>1.27</v>
      </c>
    </row>
    <row r="19">
      <c r="A19" s="9" t="s">
        <v>32</v>
      </c>
      <c r="C19" s="9">
        <f>'Variable Costs'!D29+'Variable Costs'!D41+'Variable Costs'!D48</f>
        <v>0.045</v>
      </c>
    </row>
    <row r="20">
      <c r="A20" s="9" t="s">
        <v>33</v>
      </c>
      <c r="C20" s="9">
        <f>'Variable Costs'!D53+'Variable Costs'!D63</f>
        <v>1.075</v>
      </c>
    </row>
    <row r="21" ht="15.75" customHeight="1"/>
    <row r="22" ht="15.75" customHeight="1">
      <c r="A22" s="10" t="s">
        <v>34</v>
      </c>
      <c r="C22" s="11">
        <f>C15+'Variable Costs'!D65</f>
        <v>169.513</v>
      </c>
    </row>
    <row r="23" ht="15.75" customHeight="1">
      <c r="A23" s="12" t="s">
        <v>35</v>
      </c>
      <c r="C23" s="11">
        <f>(C15+'Variable Costs'!D65)/100</f>
        <v>1.69513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15.0"/>
    <col customWidth="1" min="3" max="3" width="12.0"/>
    <col customWidth="1" min="4" max="4" width="18.0"/>
    <col customWidth="1" min="5" max="5" width="50.0"/>
    <col customWidth="1" min="6" max="26" width="8.71"/>
  </cols>
  <sheetData>
    <row r="1">
      <c r="A1" s="10" t="s">
        <v>36</v>
      </c>
    </row>
    <row r="3">
      <c r="A3" s="13" t="s">
        <v>37</v>
      </c>
    </row>
    <row r="4">
      <c r="A4" s="14" t="s">
        <v>38</v>
      </c>
      <c r="B4" s="14" t="s">
        <v>39</v>
      </c>
      <c r="C4" s="14" t="s">
        <v>40</v>
      </c>
      <c r="D4" s="14" t="s">
        <v>6</v>
      </c>
    </row>
    <row r="5">
      <c r="A5" s="9" t="s">
        <v>41</v>
      </c>
      <c r="B5" s="15">
        <v>0.01</v>
      </c>
    </row>
    <row r="6">
      <c r="A6" s="9" t="s">
        <v>42</v>
      </c>
      <c r="B6" s="15">
        <v>730.0</v>
      </c>
    </row>
    <row r="7">
      <c r="A7" s="9" t="s">
        <v>43</v>
      </c>
      <c r="B7" s="15">
        <v>6.0</v>
      </c>
      <c r="D7" s="16" t="s">
        <v>44</v>
      </c>
    </row>
    <row r="8">
      <c r="A8" s="9" t="s">
        <v>45</v>
      </c>
      <c r="B8" s="15">
        <v>2.0</v>
      </c>
    </row>
    <row r="10">
      <c r="A10" s="9" t="s">
        <v>46</v>
      </c>
      <c r="D10" s="9">
        <f>B5*B6</f>
        <v>7.3</v>
      </c>
    </row>
    <row r="11">
      <c r="A11" s="9" t="s">
        <v>47</v>
      </c>
      <c r="B11" s="15">
        <v>10.0</v>
      </c>
      <c r="C11" s="9">
        <v>0.01</v>
      </c>
      <c r="D11" s="16">
        <f>B11*C11</f>
        <v>0.1</v>
      </c>
    </row>
    <row r="12">
      <c r="A12" s="7" t="s">
        <v>48</v>
      </c>
      <c r="D12" s="7">
        <f>(D10*B7*B8)+D11</f>
        <v>87.7</v>
      </c>
    </row>
    <row r="14">
      <c r="A14" s="13" t="s">
        <v>49</v>
      </c>
    </row>
    <row r="15">
      <c r="A15" s="9" t="s">
        <v>50</v>
      </c>
      <c r="B15" s="15">
        <v>0.045</v>
      </c>
      <c r="C15" s="9">
        <v>2.0</v>
      </c>
      <c r="D15" s="16">
        <f>B15*B6*C15</f>
        <v>65.7</v>
      </c>
    </row>
    <row r="17">
      <c r="A17" s="13" t="s">
        <v>51</v>
      </c>
    </row>
    <row r="18">
      <c r="A18" s="9" t="s">
        <v>52</v>
      </c>
      <c r="B18" s="15">
        <v>0.005</v>
      </c>
      <c r="C18" s="9">
        <v>2.0</v>
      </c>
      <c r="D18" s="16">
        <f>B18*B6*C18</f>
        <v>7.3</v>
      </c>
    </row>
    <row r="20">
      <c r="A20" s="13" t="s">
        <v>53</v>
      </c>
    </row>
    <row r="21" ht="15.75" customHeight="1">
      <c r="A21" s="9" t="s">
        <v>54</v>
      </c>
      <c r="D21" s="15">
        <v>0.0</v>
      </c>
      <c r="E21" s="16" t="s">
        <v>55</v>
      </c>
    </row>
    <row r="22" ht="15.75" customHeight="1"/>
    <row r="23" ht="15.75" customHeight="1">
      <c r="A23" s="13" t="s">
        <v>56</v>
      </c>
    </row>
    <row r="24" ht="15.75" customHeight="1">
      <c r="A24" s="9" t="s">
        <v>57</v>
      </c>
      <c r="D24" s="15">
        <v>1.0</v>
      </c>
    </row>
    <row r="25" ht="15.75" customHeight="1"/>
    <row r="26" ht="15.75" customHeight="1">
      <c r="A26" s="13" t="s">
        <v>58</v>
      </c>
    </row>
    <row r="27" ht="15.75" customHeight="1">
      <c r="A27" s="9" t="s">
        <v>59</v>
      </c>
      <c r="D27" s="15">
        <v>5.0</v>
      </c>
    </row>
    <row r="28" ht="15.75" customHeight="1"/>
    <row r="29" ht="15.75" customHeight="1">
      <c r="A29" s="13" t="s">
        <v>60</v>
      </c>
    </row>
    <row r="30" ht="15.75" customHeight="1">
      <c r="A30" s="9" t="s">
        <v>61</v>
      </c>
      <c r="B30" s="9">
        <v>1.0</v>
      </c>
      <c r="C30" s="9">
        <v>0.4</v>
      </c>
      <c r="D30" s="9">
        <f>B30*C30</f>
        <v>0.4</v>
      </c>
    </row>
    <row r="31" ht="15.75" customHeight="1"/>
    <row r="32" ht="15.75" customHeight="1">
      <c r="A32" s="13" t="s">
        <v>62</v>
      </c>
    </row>
    <row r="33" ht="15.75" customHeight="1">
      <c r="A33" s="9" t="s">
        <v>63</v>
      </c>
      <c r="B33" s="9">
        <v>1.0</v>
      </c>
      <c r="C33" s="9">
        <v>0.023</v>
      </c>
      <c r="D33" s="9">
        <f>B33*C33</f>
        <v>0.023</v>
      </c>
    </row>
    <row r="34" ht="15.75" customHeight="1"/>
    <row r="35" ht="15.75" customHeight="1">
      <c r="A35" s="17" t="s">
        <v>64</v>
      </c>
      <c r="D35" s="17">
        <f>D12+D15+D18+D21+D24+D27+D30+D33</f>
        <v>167.123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18.0"/>
    <col customWidth="1" min="3" max="3" width="20.0"/>
    <col customWidth="1" min="4" max="4" width="35.0"/>
    <col customWidth="1" min="5" max="26" width="8.71"/>
  </cols>
  <sheetData>
    <row r="1">
      <c r="A1" s="10" t="s">
        <v>65</v>
      </c>
    </row>
    <row r="3">
      <c r="A3" s="13" t="s">
        <v>66</v>
      </c>
    </row>
    <row r="4">
      <c r="A4" s="9" t="s">
        <v>67</v>
      </c>
      <c r="B4" s="18">
        <v>100.0</v>
      </c>
    </row>
    <row r="5">
      <c r="A5" s="9" t="s">
        <v>68</v>
      </c>
      <c r="B5" s="15">
        <v>20.0</v>
      </c>
    </row>
    <row r="6">
      <c r="A6" s="9" t="s">
        <v>69</v>
      </c>
      <c r="B6" s="15">
        <v>10.0</v>
      </c>
    </row>
    <row r="7">
      <c r="A7" s="9" t="s">
        <v>70</v>
      </c>
      <c r="C7" s="9">
        <f>B6/2</f>
        <v>5</v>
      </c>
    </row>
    <row r="8">
      <c r="A8" s="9" t="s">
        <v>71</v>
      </c>
      <c r="C8" s="9">
        <f>B6/2</f>
        <v>5</v>
      </c>
    </row>
    <row r="10">
      <c r="A10" s="13" t="s">
        <v>72</v>
      </c>
    </row>
    <row r="11">
      <c r="A11" s="9" t="s">
        <v>73</v>
      </c>
      <c r="B11" s="15">
        <v>500.0</v>
      </c>
    </row>
    <row r="12">
      <c r="A12" s="9" t="s">
        <v>74</v>
      </c>
      <c r="B12" s="15">
        <v>800.0</v>
      </c>
    </row>
    <row r="14">
      <c r="A14" s="13" t="s">
        <v>75</v>
      </c>
    </row>
    <row r="15">
      <c r="A15" s="9" t="s">
        <v>76</v>
      </c>
      <c r="C15" s="9">
        <f>B4*B5*B6</f>
        <v>20000</v>
      </c>
    </row>
    <row r="16">
      <c r="A16" s="9" t="s">
        <v>77</v>
      </c>
      <c r="C16" s="9">
        <f>B4*B5*C7*B11</f>
        <v>5000000</v>
      </c>
    </row>
    <row r="17">
      <c r="A17" s="9" t="s">
        <v>78</v>
      </c>
      <c r="C17" s="9">
        <f>B4*B5*C8*B12</f>
        <v>8000000</v>
      </c>
    </row>
    <row r="19">
      <c r="A19" s="13" t="s">
        <v>79</v>
      </c>
    </row>
    <row r="20">
      <c r="A20" s="2" t="s">
        <v>80</v>
      </c>
    </row>
    <row r="21" ht="15.75" customHeight="1">
      <c r="A21" s="9" t="s">
        <v>81</v>
      </c>
      <c r="B21" s="15">
        <v>3.0E-5</v>
      </c>
      <c r="D21" s="16" t="s">
        <v>82</v>
      </c>
    </row>
    <row r="22" ht="15.75" customHeight="1">
      <c r="A22" s="9" t="s">
        <v>83</v>
      </c>
      <c r="B22" s="15">
        <v>1.4E-4</v>
      </c>
    </row>
    <row r="23" ht="15.75" customHeight="1">
      <c r="A23" s="9" t="s">
        <v>84</v>
      </c>
      <c r="D23" s="9">
        <f t="shared" ref="D23:D24" si="1">(C16/1000)*B21</f>
        <v>0.15</v>
      </c>
    </row>
    <row r="24" ht="15.75" customHeight="1">
      <c r="A24" s="9" t="s">
        <v>85</v>
      </c>
      <c r="D24" s="9">
        <f t="shared" si="1"/>
        <v>1.12</v>
      </c>
    </row>
    <row r="25" ht="15.75" customHeight="1">
      <c r="A25" s="9" t="s">
        <v>86</v>
      </c>
      <c r="D25" s="19">
        <f>D23+D24</f>
        <v>1.27</v>
      </c>
    </row>
    <row r="26" ht="15.75" customHeight="1"/>
    <row r="27" ht="15.75" customHeight="1">
      <c r="A27" s="7" t="s">
        <v>87</v>
      </c>
    </row>
    <row r="28" ht="15.75" customHeight="1">
      <c r="A28" s="9" t="s">
        <v>88</v>
      </c>
      <c r="B28" s="15">
        <v>1.0</v>
      </c>
    </row>
    <row r="29" ht="15.75" customHeight="1">
      <c r="A29" s="9" t="s">
        <v>89</v>
      </c>
      <c r="D29" s="9">
        <f>(C15/1000000)*B28</f>
        <v>0.02</v>
      </c>
    </row>
    <row r="30" ht="15.75" customHeight="1"/>
    <row r="31" ht="15.75" customHeight="1">
      <c r="A31" s="7" t="s">
        <v>90</v>
      </c>
    </row>
    <row r="32" ht="15.75" customHeight="1">
      <c r="A32" s="9" t="s">
        <v>91</v>
      </c>
      <c r="B32" s="15">
        <v>1024.0</v>
      </c>
    </row>
    <row r="33" ht="15.75" customHeight="1">
      <c r="A33" s="9" t="s">
        <v>92</v>
      </c>
      <c r="B33" s="15">
        <v>3.0</v>
      </c>
    </row>
    <row r="34" ht="15.75" customHeight="1">
      <c r="A34" s="9" t="s">
        <v>93</v>
      </c>
      <c r="C34" s="9">
        <f>C15*B33*(B32/1024)</f>
        <v>60000</v>
      </c>
    </row>
    <row r="35" ht="15.75" customHeight="1">
      <c r="A35" s="9" t="s">
        <v>94</v>
      </c>
      <c r="B35" s="15">
        <v>400000.0</v>
      </c>
    </row>
    <row r="36" ht="15.75" customHeight="1">
      <c r="A36" s="9" t="s">
        <v>95</v>
      </c>
      <c r="C36" s="9">
        <f>MAX(0,C34-B35)</f>
        <v>0</v>
      </c>
    </row>
    <row r="37" ht="15.75" customHeight="1">
      <c r="A37" s="9" t="s">
        <v>96</v>
      </c>
      <c r="B37" s="15">
        <v>1.66667E-5</v>
      </c>
    </row>
    <row r="38" ht="15.75" customHeight="1">
      <c r="A38" s="9" t="s">
        <v>97</v>
      </c>
      <c r="D38" s="9">
        <f>C36*B37</f>
        <v>0</v>
      </c>
    </row>
    <row r="39" ht="15.75" customHeight="1">
      <c r="A39" s="9" t="s">
        <v>98</v>
      </c>
      <c r="C39" s="9">
        <f>MAX(0,C15-1000000)</f>
        <v>0</v>
      </c>
    </row>
    <row r="40" ht="15.75" customHeight="1">
      <c r="A40" s="9" t="s">
        <v>99</v>
      </c>
      <c r="D40" s="9">
        <f>(C39/1000000)*0.2</f>
        <v>0</v>
      </c>
    </row>
    <row r="41" ht="15.75" customHeight="1">
      <c r="A41" s="9" t="s">
        <v>100</v>
      </c>
      <c r="D41" s="7">
        <f>D38+D40</f>
        <v>0</v>
      </c>
    </row>
    <row r="42" ht="15.75" customHeight="1"/>
    <row r="43" ht="15.75" customHeight="1">
      <c r="A43" s="7" t="s">
        <v>101</v>
      </c>
    </row>
    <row r="44" ht="15.75" customHeight="1">
      <c r="A44" s="9" t="s">
        <v>102</v>
      </c>
      <c r="B44" s="15">
        <v>100.0</v>
      </c>
    </row>
    <row r="45" ht="15.75" customHeight="1">
      <c r="A45" s="9" t="s">
        <v>103</v>
      </c>
      <c r="B45" s="15">
        <v>500.0</v>
      </c>
    </row>
    <row r="46" ht="15.75" customHeight="1">
      <c r="A46" s="9" t="s">
        <v>104</v>
      </c>
      <c r="B46" s="15">
        <v>1.25</v>
      </c>
    </row>
    <row r="47" ht="15.75" customHeight="1">
      <c r="A47" s="9" t="s">
        <v>105</v>
      </c>
      <c r="B47" s="15">
        <v>0.25</v>
      </c>
    </row>
    <row r="48" ht="15.75" customHeight="1">
      <c r="A48" s="9" t="s">
        <v>106</v>
      </c>
      <c r="D48" s="7">
        <f>((B44*B4)/1000000)*B46+((B45*B4)/1000000)*B47</f>
        <v>0.025</v>
      </c>
    </row>
    <row r="49" ht="15.75" customHeight="1"/>
    <row r="50" ht="15.75" customHeight="1">
      <c r="A50" s="7" t="s">
        <v>107</v>
      </c>
    </row>
    <row r="51" ht="15.75" customHeight="1">
      <c r="A51" s="9" t="s">
        <v>108</v>
      </c>
      <c r="B51" s="15">
        <v>10.0</v>
      </c>
    </row>
    <row r="52" ht="15.75" customHeight="1">
      <c r="A52" s="9" t="s">
        <v>109</v>
      </c>
      <c r="B52" s="15">
        <v>0.085</v>
      </c>
    </row>
    <row r="53" ht="15.75" customHeight="1">
      <c r="A53" s="9" t="s">
        <v>110</v>
      </c>
      <c r="D53" s="7">
        <f>B51*B52</f>
        <v>0.85</v>
      </c>
    </row>
    <row r="54" ht="15.75" customHeight="1"/>
    <row r="55" ht="15.75" customHeight="1">
      <c r="A55" s="7" t="s">
        <v>111</v>
      </c>
    </row>
    <row r="56" ht="15.75" customHeight="1">
      <c r="A56" s="9" t="s">
        <v>112</v>
      </c>
      <c r="C56" s="9">
        <f>B4</f>
        <v>100</v>
      </c>
    </row>
    <row r="57" ht="15.75" customHeight="1">
      <c r="A57" s="9" t="s">
        <v>113</v>
      </c>
      <c r="B57" s="15">
        <v>50000.0</v>
      </c>
    </row>
    <row r="58" ht="15.75" customHeight="1">
      <c r="A58" s="9" t="s">
        <v>114</v>
      </c>
      <c r="D58" s="9">
        <v>0.0</v>
      </c>
    </row>
    <row r="59" ht="15.75" customHeight="1"/>
    <row r="60" ht="15.75" customHeight="1">
      <c r="A60" s="7" t="s">
        <v>115</v>
      </c>
    </row>
    <row r="61" ht="15.75" customHeight="1">
      <c r="A61" s="9" t="s">
        <v>116</v>
      </c>
      <c r="B61" s="15">
        <v>5.0</v>
      </c>
    </row>
    <row r="62" ht="15.75" customHeight="1">
      <c r="A62" s="9" t="s">
        <v>109</v>
      </c>
      <c r="B62" s="15">
        <v>0.045</v>
      </c>
    </row>
    <row r="63" ht="15.75" customHeight="1">
      <c r="A63" s="9" t="s">
        <v>117</v>
      </c>
      <c r="D63" s="7">
        <f>B61*B62</f>
        <v>0.225</v>
      </c>
    </row>
    <row r="64" ht="15.75" customHeight="1"/>
    <row r="65" ht="15.75" customHeight="1">
      <c r="A65" s="17" t="s">
        <v>118</v>
      </c>
      <c r="D65" s="17">
        <f>D25+D29+D41+D48+D53+D58+D63</f>
        <v>2.39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5.0"/>
    <col customWidth="1" min="3" max="3" width="18.0"/>
    <col customWidth="1" min="4" max="5" width="15.0"/>
    <col customWidth="1" min="6" max="6" width="25.0"/>
    <col customWidth="1" min="7" max="26" width="8.71"/>
  </cols>
  <sheetData>
    <row r="1">
      <c r="A1" s="10" t="s">
        <v>119</v>
      </c>
    </row>
    <row r="2">
      <c r="A2" s="20" t="s">
        <v>120</v>
      </c>
    </row>
    <row r="4">
      <c r="A4" s="5" t="s">
        <v>121</v>
      </c>
      <c r="B4" s="5" t="s">
        <v>122</v>
      </c>
      <c r="C4" s="5" t="s">
        <v>123</v>
      </c>
      <c r="D4" s="5" t="s">
        <v>124</v>
      </c>
      <c r="E4" s="5" t="s">
        <v>125</v>
      </c>
      <c r="F4" s="5" t="s">
        <v>7</v>
      </c>
    </row>
    <row r="5">
      <c r="A5" s="15">
        <v>10.0</v>
      </c>
      <c r="B5" s="16">
        <f>'Fixed Costs'!D35</f>
        <v>167.123</v>
      </c>
      <c r="C5" s="16">
        <f>'Variable Costs'!D65*(A5/100)</f>
        <v>0.239</v>
      </c>
      <c r="D5" s="7">
        <f t="shared" ref="D5:D10" si="1">B5+C5</f>
        <v>167.362</v>
      </c>
      <c r="E5" s="16">
        <f t="shared" ref="E5:E10" si="2">D5/A5</f>
        <v>16.7362</v>
      </c>
      <c r="F5" s="16" t="s">
        <v>126</v>
      </c>
    </row>
    <row r="6">
      <c r="A6" s="15">
        <v>50.0</v>
      </c>
      <c r="B6" s="16">
        <f>'Fixed Costs'!D35</f>
        <v>167.123</v>
      </c>
      <c r="C6" s="16">
        <f>'Variable Costs'!D65*(A6/100)</f>
        <v>1.195</v>
      </c>
      <c r="D6" s="7">
        <f t="shared" si="1"/>
        <v>168.318</v>
      </c>
      <c r="E6" s="16">
        <f t="shared" si="2"/>
        <v>3.36636</v>
      </c>
      <c r="F6" s="16" t="s">
        <v>127</v>
      </c>
    </row>
    <row r="7">
      <c r="A7" s="15">
        <v>100.0</v>
      </c>
      <c r="B7" s="16">
        <f>'Fixed Costs'!D35</f>
        <v>167.123</v>
      </c>
      <c r="C7" s="16">
        <f>'Variable Costs'!D65*(A7/100)</f>
        <v>2.39</v>
      </c>
      <c r="D7" s="7">
        <f t="shared" si="1"/>
        <v>169.513</v>
      </c>
      <c r="E7" s="16">
        <f t="shared" si="2"/>
        <v>1.69513</v>
      </c>
      <c r="F7" s="16" t="s">
        <v>128</v>
      </c>
    </row>
    <row r="8">
      <c r="A8" s="15">
        <v>250.0</v>
      </c>
      <c r="B8" s="16">
        <f>'Fixed Costs'!D35</f>
        <v>167.123</v>
      </c>
      <c r="C8" s="16">
        <f>'Variable Costs'!D65*(A8/100)</f>
        <v>5.975</v>
      </c>
      <c r="D8" s="7">
        <f t="shared" si="1"/>
        <v>173.098</v>
      </c>
      <c r="E8" s="16">
        <f t="shared" si="2"/>
        <v>0.692392</v>
      </c>
      <c r="F8" s="16" t="s">
        <v>129</v>
      </c>
    </row>
    <row r="9">
      <c r="A9" s="15">
        <v>500.0</v>
      </c>
      <c r="B9" s="16">
        <f>'Fixed Costs'!D35</f>
        <v>167.123</v>
      </c>
      <c r="C9" s="16">
        <f>'Variable Costs'!D65*(A9/100)</f>
        <v>11.95</v>
      </c>
      <c r="D9" s="7">
        <f t="shared" si="1"/>
        <v>179.073</v>
      </c>
      <c r="E9" s="16">
        <f t="shared" si="2"/>
        <v>0.358146</v>
      </c>
      <c r="F9" s="16" t="s">
        <v>130</v>
      </c>
    </row>
    <row r="10">
      <c r="A10" s="15">
        <v>1000.0</v>
      </c>
      <c r="B10" s="16">
        <f>'Fixed Costs'!D35</f>
        <v>167.123</v>
      </c>
      <c r="C10" s="16">
        <f>'Variable Costs'!D65*(A10/100)</f>
        <v>23.9</v>
      </c>
      <c r="D10" s="7">
        <f t="shared" si="1"/>
        <v>191.023</v>
      </c>
      <c r="E10" s="16">
        <f t="shared" si="2"/>
        <v>0.191023</v>
      </c>
      <c r="F10" s="16" t="s">
        <v>131</v>
      </c>
    </row>
    <row r="13">
      <c r="A13" s="21" t="s">
        <v>132</v>
      </c>
      <c r="B13" s="22"/>
      <c r="C13" s="22"/>
      <c r="D13" s="22"/>
      <c r="E13" s="22"/>
      <c r="F13" s="23"/>
    </row>
    <row r="14">
      <c r="A14" s="9" t="s">
        <v>133</v>
      </c>
    </row>
    <row r="15">
      <c r="A15" s="9" t="s">
        <v>134</v>
      </c>
    </row>
    <row r="16">
      <c r="A16" s="9" t="s">
        <v>135</v>
      </c>
    </row>
    <row r="17">
      <c r="A17" s="9" t="s">
        <v>136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3:F13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20.0"/>
    <col customWidth="1" min="3" max="3" width="45.0"/>
    <col customWidth="1" min="4" max="26" width="8.71"/>
  </cols>
  <sheetData>
    <row r="1">
      <c r="A1" s="10" t="s">
        <v>137</v>
      </c>
    </row>
    <row r="3">
      <c r="A3" s="24" t="s">
        <v>138</v>
      </c>
    </row>
    <row r="4">
      <c r="A4" s="9" t="s">
        <v>139</v>
      </c>
      <c r="B4" s="15">
        <v>54.92</v>
      </c>
    </row>
    <row r="5">
      <c r="A5" s="9" t="s">
        <v>140</v>
      </c>
      <c r="B5" s="15">
        <v>31.87</v>
      </c>
    </row>
    <row r="6">
      <c r="A6" s="9" t="s">
        <v>141</v>
      </c>
      <c r="B6" s="15">
        <v>22.82</v>
      </c>
    </row>
    <row r="7">
      <c r="A7" s="9" t="s">
        <v>142</v>
      </c>
      <c r="B7" s="15">
        <v>0.24</v>
      </c>
    </row>
    <row r="9">
      <c r="A9" s="9" t="s">
        <v>143</v>
      </c>
      <c r="B9" s="15">
        <v>145.62</v>
      </c>
    </row>
    <row r="11">
      <c r="A11" s="9" t="s">
        <v>144</v>
      </c>
    </row>
    <row r="12">
      <c r="A12" s="9" t="s">
        <v>145</v>
      </c>
      <c r="B12" s="9">
        <v>1456.0</v>
      </c>
    </row>
    <row r="13">
      <c r="A13" s="9" t="s">
        <v>146</v>
      </c>
      <c r="B13" s="9">
        <v>14562.0</v>
      </c>
    </row>
    <row r="14">
      <c r="A14" s="9" t="s">
        <v>147</v>
      </c>
      <c r="B14" s="9" t="s">
        <v>148</v>
      </c>
    </row>
    <row r="16">
      <c r="A16" s="19" t="s">
        <v>149</v>
      </c>
    </row>
    <row r="17">
      <c r="A17" s="9" t="s">
        <v>150</v>
      </c>
      <c r="B17" s="9">
        <f>'Fixed Costs'!D35</f>
        <v>167.123</v>
      </c>
      <c r="C17" s="9" t="s">
        <v>151</v>
      </c>
    </row>
    <row r="18">
      <c r="A18" s="9" t="s">
        <v>152</v>
      </c>
      <c r="B18" s="9">
        <f>'Variable Costs'!D65</f>
        <v>2.39</v>
      </c>
      <c r="C18" s="9" t="s">
        <v>153</v>
      </c>
    </row>
    <row r="19">
      <c r="A19" s="9" t="s">
        <v>154</v>
      </c>
      <c r="B19" s="17">
        <f>B17+B18</f>
        <v>169.513</v>
      </c>
      <c r="C19" s="16" t="s">
        <v>155</v>
      </c>
    </row>
    <row r="21" ht="15.75" customHeight="1">
      <c r="A21" s="13" t="s">
        <v>156</v>
      </c>
    </row>
    <row r="22" ht="15.75" customHeight="1">
      <c r="A22" s="9" t="s">
        <v>157</v>
      </c>
      <c r="B22" s="9">
        <f>'Variable Costs'!D25</f>
        <v>1.27</v>
      </c>
      <c r="C22" s="9" t="s">
        <v>158</v>
      </c>
    </row>
    <row r="23" ht="15.75" customHeight="1">
      <c r="A23" s="9" t="s">
        <v>159</v>
      </c>
      <c r="B23" s="9">
        <f>('Variable Costs'!C16/1000)*0.003+('Variable Costs'!C17/1000)*0.015</f>
        <v>135</v>
      </c>
      <c r="C23" s="9" t="s">
        <v>160</v>
      </c>
    </row>
    <row r="24" ht="15.75" customHeight="1">
      <c r="A24" s="9" t="s">
        <v>161</v>
      </c>
      <c r="B24" s="2">
        <f>B23-B22</f>
        <v>133.73</v>
      </c>
      <c r="C24" s="16" t="s">
        <v>162</v>
      </c>
    </row>
    <row r="25" ht="15.75" customHeight="1"/>
    <row r="26" ht="15.75" customHeight="1">
      <c r="A26" s="25" t="s">
        <v>163</v>
      </c>
    </row>
    <row r="27" ht="15.75" customHeight="1">
      <c r="A27" s="16" t="s">
        <v>164</v>
      </c>
    </row>
    <row r="28" ht="15.75" customHeight="1">
      <c r="A28" s="16" t="s">
        <v>165</v>
      </c>
    </row>
    <row r="29" ht="15.75" customHeight="1">
      <c r="A29" s="16" t="s">
        <v>166</v>
      </c>
    </row>
    <row r="30" ht="15.75" customHeight="1">
      <c r="A30" s="16" t="s">
        <v>167</v>
      </c>
    </row>
    <row r="31" ht="15.75" customHeight="1">
      <c r="A31" s="16" t="s">
        <v>168</v>
      </c>
    </row>
    <row r="32" ht="15.75" customHeight="1">
      <c r="A32" s="16" t="s">
        <v>169</v>
      </c>
    </row>
    <row r="33" ht="15.75" customHeight="1"/>
    <row r="34" ht="15.75" customHeight="1">
      <c r="A34" s="13" t="s">
        <v>170</v>
      </c>
    </row>
    <row r="35" ht="15.75" customHeight="1">
      <c r="A35" s="16" t="s">
        <v>171</v>
      </c>
    </row>
    <row r="36" ht="15.75" customHeight="1">
      <c r="A36" s="16" t="s">
        <v>172</v>
      </c>
    </row>
    <row r="37" ht="15.75" customHeight="1">
      <c r="A37" s="16" t="s">
        <v>173</v>
      </c>
    </row>
    <row r="38" ht="15.75" customHeight="1">
      <c r="A38" s="16" t="s">
        <v>174</v>
      </c>
    </row>
    <row r="39" ht="15.75" customHeight="1">
      <c r="A39" s="16" t="s">
        <v>175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36:C36"/>
    <mergeCell ref="A37:C37"/>
    <mergeCell ref="A38:C38"/>
    <mergeCell ref="A39:C39"/>
    <mergeCell ref="A27:C27"/>
    <mergeCell ref="A28:C28"/>
    <mergeCell ref="A29:C29"/>
    <mergeCell ref="A30:C30"/>
    <mergeCell ref="A31:C31"/>
    <mergeCell ref="A32:C32"/>
    <mergeCell ref="A35:C35"/>
  </mergeCells>
  <printOptions/>
  <pageMargins bottom="1.0" footer="0.0" header="0.0" left="0.75" right="0.75" top="1.0"/>
  <pageSetup paperSize="9" orientation="portrait"/>
  <drawing r:id="rId1"/>
</worksheet>
</file>